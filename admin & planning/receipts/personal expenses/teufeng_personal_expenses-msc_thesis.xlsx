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R_jaR_bY959F-kVkmoRlCS4npFhRrr4k\2025-msc-thesis-teufeng\docs\reports\personal expenses\"/>
    </mc:Choice>
  </mc:AlternateContent>
  <xr:revisionPtr revIDLastSave="0" documentId="13_ncr:1_{24C0461B-F337-4DE1-82FE-26F906E1E039}" xr6:coauthVersionLast="47" xr6:coauthVersionMax="47" xr10:uidLastSave="{00000000-0000-0000-0000-000000000000}"/>
  <bookViews>
    <workbookView xWindow="2052" yWindow="-17280" windowWidth="15552" windowHeight="16656" xr2:uid="{9EBD8F7B-3B43-43C4-A011-740AB58549CA}"/>
  </bookViews>
  <sheets>
    <sheet name="General" sheetId="1" r:id="rId1"/>
    <sheet name="Medic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H8" i="5" s="1"/>
  <c r="G7" i="5"/>
  <c r="H7" i="5" s="1"/>
  <c r="H2" i="5"/>
  <c r="G6" i="5"/>
  <c r="H6" i="5" s="1"/>
  <c r="G5" i="5"/>
  <c r="H5" i="5" s="1"/>
  <c r="G4" i="5"/>
  <c r="H4" i="5" s="1"/>
  <c r="G3" i="5"/>
  <c r="H3" i="5" s="1"/>
  <c r="G11" i="5"/>
  <c r="H11" i="5" s="1"/>
  <c r="G10" i="5"/>
  <c r="H10" i="5" s="1"/>
  <c r="G9" i="5"/>
  <c r="H9" i="5" s="1"/>
  <c r="G9" i="1"/>
  <c r="H12" i="5" l="1"/>
  <c r="H13" i="5" s="1"/>
</calcChain>
</file>

<file path=xl/sharedStrings.xml><?xml version="1.0" encoding="utf-8"?>
<sst xmlns="http://schemas.openxmlformats.org/spreadsheetml/2006/main" count="93" uniqueCount="48">
  <si>
    <t>No</t>
  </si>
  <si>
    <t>Invoice date</t>
  </si>
  <si>
    <t>Category</t>
  </si>
  <si>
    <t>10</t>
  </si>
  <si>
    <t>Medical</t>
  </si>
  <si>
    <t>Engineering</t>
  </si>
  <si>
    <t>Other</t>
  </si>
  <si>
    <t>Travel prep</t>
  </si>
  <si>
    <t>Seller</t>
  </si>
  <si>
    <t>Product</t>
  </si>
  <si>
    <t>Invoice total</t>
  </si>
  <si>
    <t>Total in CHF</t>
  </si>
  <si>
    <t>Galaxus</t>
  </si>
  <si>
    <t>TOTAL CHF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</si>
  <si>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</si>
  <si>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</si>
  <si>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</si>
  <si>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</si>
  <si>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</si>
  <si>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</si>
  <si>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</si>
  <si>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</si>
  <si>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</si>
  <si>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eVisa Malawi</t>
  </si>
  <si>
    <t>Visum</t>
  </si>
  <si>
    <t>Institute for Travel Medicine</t>
  </si>
  <si>
    <t>Consultation</t>
  </si>
  <si>
    <t>Travel gadgets</t>
  </si>
  <si>
    <t>OpenAI</t>
  </si>
  <si>
    <t>LLM Data Analysis</t>
  </si>
  <si>
    <t>Diagnostics</t>
  </si>
  <si>
    <t>Star Medical Centre</t>
  </si>
  <si>
    <t>Praziquantel</t>
  </si>
  <si>
    <t>Citipharm</t>
  </si>
  <si>
    <t>USZ</t>
  </si>
  <si>
    <t>Lab Work</t>
  </si>
  <si>
    <t>Hospitalization</t>
  </si>
  <si>
    <t>Lab Work PCR</t>
  </si>
  <si>
    <t>Page</t>
  </si>
  <si>
    <t>Conversion Rates</t>
  </si>
  <si>
    <t>MWK/CHF</t>
  </si>
  <si>
    <t>USD/CHF</t>
  </si>
  <si>
    <t>Not Covered by Insurance</t>
  </si>
  <si>
    <t xml:space="preserve">Total in CHF </t>
  </si>
  <si>
    <t>TOTAL CHF covered by Liz</t>
  </si>
  <si>
    <t>Session</t>
  </si>
  <si>
    <t>ZüriPharm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</si>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</sst>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CHF&quot;\ #,##0.00"/>
    <numFmt numFmtId="166" formatCode="[$CHF]\ #,##0.00"/>
    <numFmt numFmtId="168" formatCode="[$$-409]#,##0.00"/>
    <numFmt numFmtId="169" formatCode="[$MWK]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49" fontId="0" fillId="0" borderId="4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5" xfId="0" applyBorder="1"/>
    <xf numFmtId="166" fontId="0" fillId="0" borderId="3" xfId="0" applyNumberFormat="1" applyBorder="1" applyAlignment="1">
      <alignment vertical="top" wrapText="1"/>
    </xf>
    <xf numFmtId="166" fontId="0" fillId="0" borderId="1" xfId="0" applyNumberFormat="1" applyBorder="1"/>
    <xf numFmtId="166" fontId="0" fillId="0" borderId="0" xfId="0" applyNumberFormat="1"/>
    <xf numFmtId="166" fontId="0" fillId="0" borderId="5" xfId="0" applyNumberFormat="1" applyBorder="1"/>
    <xf numFmtId="0" fontId="0" fillId="0" borderId="6" xfId="0" applyBorder="1"/>
    <xf numFmtId="166" fontId="0" fillId="0" borderId="7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0" fontId="0" fillId="0" borderId="0" xfId="0" applyBorder="1"/>
    <xf numFmtId="166" fontId="0" fillId="0" borderId="9" xfId="0" applyNumberFormat="1" applyBorder="1" applyAlignment="1">
      <alignment vertical="top" wrapText="1"/>
    </xf>
    <xf numFmtId="166" fontId="0" fillId="0" borderId="10" xfId="0" applyNumberFormat="1" applyBorder="1"/>
    <xf numFmtId="166" fontId="0" fillId="0" borderId="11" xfId="0" applyNumberFormat="1" applyBorder="1" applyAlignment="1">
      <alignment vertical="top" wrapText="1"/>
    </xf>
    <xf numFmtId="166" fontId="0" fillId="0" borderId="13" xfId="0" applyNumberFormat="1" applyBorder="1"/>
    <xf numFmtId="0" fontId="0" fillId="0" borderId="14" xfId="0" applyBorder="1" applyAlignment="1">
      <alignment vertical="top"/>
    </xf>
    <xf numFmtId="0" fontId="0" fillId="0" borderId="15" xfId="0" applyBorder="1"/>
    <xf numFmtId="0" fontId="0" fillId="0" borderId="16" xfId="0" applyBorder="1"/>
    <xf numFmtId="166" fontId="0" fillId="0" borderId="0" xfId="0" applyNumberFormat="1" applyBorder="1"/>
    <xf numFmtId="49" fontId="0" fillId="0" borderId="4" xfId="0" applyNumberFormat="1" applyFill="1" applyBorder="1"/>
    <xf numFmtId="0" fontId="0" fillId="0" borderId="1" xfId="0" applyFill="1" applyBorder="1"/>
    <xf numFmtId="166" fontId="0" fillId="0" borderId="4" xfId="0" applyNumberFormat="1" applyBorder="1"/>
    <xf numFmtId="166" fontId="0" fillId="0" borderId="17" xfId="0" applyNumberFormat="1" applyBorder="1"/>
    <xf numFmtId="166" fontId="0" fillId="0" borderId="8" xfId="0" applyNumberFormat="1" applyBorder="1"/>
    <xf numFmtId="169" fontId="0" fillId="0" borderId="5" xfId="0" applyNumberFormat="1" applyBorder="1"/>
    <xf numFmtId="0" fontId="0" fillId="0" borderId="18" xfId="0" applyBorder="1"/>
    <xf numFmtId="166" fontId="0" fillId="0" borderId="12" xfId="0" applyNumberFormat="1" applyBorder="1"/>
    <xf numFmtId="0" fontId="0" fillId="0" borderId="6" xfId="0" applyBorder="1" applyAlignment="1">
      <alignment wrapText="1"/>
    </xf>
    <xf numFmtId="0" fontId="0" fillId="0" borderId="10" xfId="0" applyBorder="1"/>
  </cellXfs>
  <cellStyles count="1">
    <cellStyle name="Normal" xfId="0" builtinId="0"/>
  </cellStyles>
  <dxfs count="34"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rgb="FFFFF167"/>
        </patternFill>
      </fill>
    </dxf>
    <dxf>
      <fill>
        <patternFill>
          <bgColor rgb="FFFF5050"/>
        </patternFill>
      </fill>
    </dxf>
    <dxf>
      <fill>
        <patternFill>
          <bgColor rgb="FF4BEF47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rgb="FFFFF167"/>
        </patternFill>
      </fill>
    </dxf>
    <dxf>
      <fill>
        <patternFill>
          <bgColor rgb="FFFF5050"/>
        </patternFill>
      </fill>
    </dxf>
    <dxf>
      <fill>
        <patternFill>
          <bgColor rgb="FF4BEF47"/>
        </patternFill>
      </fill>
    </dxf>
    <dxf>
      <fill>
        <patternFill>
          <bgColor theme="8" tint="0.59996337778862885"/>
        </patternFill>
      </fill>
    </dxf>
    <dxf>
      <numFmt numFmtId="166" formatCode="[$CHF]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CHF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[$CHF]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CHF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58787"/>
      <color rgb="FFFFFFFF"/>
      <color rgb="FF4BEF47"/>
      <color rgb="FFFFF16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848362</xdr:colOff>
      <xdr:row>14</xdr:row>
      <xdr:rowOff>95848</xdr:rowOff>
    </xdr:from>
    <xdr:to>
      <xdr:col>7</xdr:col>
      <xdr:colOff>8047</xdr:colOff>
      <xdr:row>45</xdr:row>
      <xdr:rowOff>25142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C66D40-3BC2-4932-9127-2490F31CA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3376" y="3102095"/>
          <a:ext cx="4520240" cy="57434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E8960-8A70-41CD-A59B-9098088D2608}" name="Table1" displayName="Table1" ref="A1:G8" totalsRowShown="0" headerRowDxfId="33" headerRowBorderDxfId="32" tableBorderDxfId="31" totalsRowBorderDxfId="30">
  <autoFilter ref="A1:G8" xr:uid="{018E8960-8A70-41CD-A59B-9098088D2608}"/>
  <sortState xmlns:xlrd2="http://schemas.microsoft.com/office/spreadsheetml/2017/richdata2" ref="A2:G8">
    <sortCondition ref="B1:B8"/>
  </sortState>
  <tableColumns count="7">
    <tableColumn id="1" xr3:uid="{34DA035A-57CA-45B6-ABB7-C2C59D2031AD}" name="No" dataDxfId="29"/>
    <tableColumn id="2" xr3:uid="{23AB85EC-C41C-4B9F-B083-4C42332A5B35}" name="Invoice date" dataDxfId="28"/>
    <tableColumn id="10" xr3:uid="{353FCC72-30B0-42BB-A5C1-19BEAA445BAD}" name="Seller" dataDxfId="27"/>
    <tableColumn id="3" xr3:uid="{CA151810-92AD-49C2-B9A1-8B82375C3778}" name="Product" dataDxfId="26"/>
    <tableColumn id="4" xr3:uid="{351F000F-B74B-4BE5-81C5-D8B2634048E3}" name="Category" dataDxfId="25"/>
    <tableColumn id="5" xr3:uid="{0CDE2FB1-4BCA-4655-879D-77515D656FE3}" name="Invoice total" dataDxfId="24"/>
    <tableColumn id="9" xr3:uid="{448EBB6D-B209-4F30-BAAF-4D009C132FA2}" name="Total in CHF" dataDxfId="2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C26D7-221D-4B70-936C-43F6F1210561}" name="Table13" displayName="Table13" ref="A1:H11" totalsRowShown="0" headerRowDxfId="22" headerRowBorderDxfId="20" tableBorderDxfId="21" totalsRowBorderDxfId="19">
  <autoFilter ref="A1:H11" xr:uid="{018E8960-8A70-41CD-A59B-9098088D2608}"/>
  <tableColumns count="8">
    <tableColumn id="1" xr3:uid="{026178AA-55CB-4CA9-B6DA-08398698E22B}" name="No" dataDxfId="18"/>
    <tableColumn id="2" xr3:uid="{24D64177-5B75-4D8D-B287-A9643D0DBFCD}" name="Invoice date" dataDxfId="17"/>
    <tableColumn id="10" xr3:uid="{7AE7886E-9BB7-4089-B681-66289C6B24D2}" name="Seller" dataDxfId="16"/>
    <tableColumn id="3" xr3:uid="{2B50D466-5839-45E6-B509-F887EA6DF9D1}" name="Product" dataDxfId="15"/>
    <tableColumn id="4" xr3:uid="{A7DF00E6-2BDC-401E-B4AB-5151B60DE259}" name="Category" dataDxfId="14"/>
    <tableColumn id="5" xr3:uid="{A158F383-C77E-4F79-97B2-60560B6EDCC2}" name="Invoice total" dataDxfId="13"/>
    <tableColumn id="7" xr3:uid="{B13A3AC8-D1E6-4E74-AD43-634907AC8864}" name="Not Covered by Insurance"/>
    <tableColumn id="9" xr3:uid="{B3B7246D-56CE-49F3-B28D-1C38FBBD9281}" name="Total in CHF " dataDxfId="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9A7B-4069-4DEA-B845-DD7124DC1346}">
  <dimension ref="A1:J9"/>
  <sheetViews>
    <sheetView tabSelected="1" zoomScale="96" zoomScaleNormal="85" workbookViewId="0">
      <selection activeCell="C10" sqref="C10"/>
    </sheetView>
  </sheetViews>
  <sheetFormatPr defaultColWidth="11.3984375" defaultRowHeight="14.25" x14ac:dyDescent="0.45"/>
  <cols>
    <col min="1" max="1" width="3.3984375" customWidth="1"/>
    <col min="2" max="2" width="20.73046875" bestFit="1" customWidth="1"/>
    <col min="3" max="3" width="20.86328125" customWidth="1"/>
    <col min="4" max="4" width="29.73046875" bestFit="1" customWidth="1"/>
    <col min="5" max="5" width="13.1328125" bestFit="1" customWidth="1"/>
    <col min="6" max="6" width="16" bestFit="1" customWidth="1"/>
    <col min="7" max="8" width="14.1328125" style="11" bestFit="1" customWidth="1"/>
    <col min="9" max="9" width="16.06640625" customWidth="1"/>
    <col min="10" max="10" width="20.265625" customWidth="1"/>
  </cols>
  <sheetData>
    <row r="1" spans="1:10" s="1" customFormat="1" ht="30" customHeight="1" x14ac:dyDescent="0.45">
      <c r="A1" s="2" t="s">
        <v>0</v>
      </c>
      <c r="B1" s="3" t="s">
        <v>1</v>
      </c>
      <c r="C1" s="3" t="s">
        <v>8</v>
      </c>
      <c r="D1" s="3" t="s">
        <v>9</v>
      </c>
      <c r="E1" s="3" t="s">
        <v>2</v>
      </c>
      <c r="F1" s="3" t="s">
        <v>10</v>
      </c>
      <c r="G1" s="9" t="s">
        <v>11</v>
      </c>
      <c r="H1" s="18" t="s">
        <v>38</v>
      </c>
      <c r="I1" s="20" t="s">
        <v>39</v>
      </c>
      <c r="J1" s="22"/>
    </row>
    <row r="2" spans="1:10" x14ac:dyDescent="0.45">
      <c r="A2" s="4" t="s">
        <v>14</v>
      </c>
      <c r="B2" s="5">
        <v>20250516</v>
      </c>
      <c r="C2" s="5" t="s">
        <v>25</v>
      </c>
      <c r="D2" s="5" t="s">
        <v>26</v>
      </c>
      <c r="E2" s="6" t="s">
        <v>4</v>
      </c>
      <c r="F2" s="7">
        <v>322</v>
      </c>
      <c r="G2" s="19">
        <v>322</v>
      </c>
      <c r="H2" s="5">
        <v>1</v>
      </c>
      <c r="I2" s="28" t="s">
        <v>41</v>
      </c>
      <c r="J2" s="23">
        <v>1.26</v>
      </c>
    </row>
    <row r="3" spans="1:10" ht="14.65" thickBot="1" x14ac:dyDescent="0.5">
      <c r="A3" s="4" t="s">
        <v>15</v>
      </c>
      <c r="B3" s="5">
        <v>20250709</v>
      </c>
      <c r="C3" s="5" t="s">
        <v>23</v>
      </c>
      <c r="D3" s="5" t="s">
        <v>24</v>
      </c>
      <c r="E3" s="6" t="s">
        <v>6</v>
      </c>
      <c r="F3" s="15">
        <v>52</v>
      </c>
      <c r="G3" s="19">
        <v>41.28</v>
      </c>
      <c r="H3" s="5">
        <v>2</v>
      </c>
      <c r="I3" s="29" t="s">
        <v>40</v>
      </c>
      <c r="J3" s="24">
        <v>1750</v>
      </c>
    </row>
    <row r="4" spans="1:10" x14ac:dyDescent="0.45">
      <c r="A4" s="4" t="s">
        <v>16</v>
      </c>
      <c r="B4" s="5">
        <v>20250709</v>
      </c>
      <c r="C4" s="5" t="s">
        <v>12</v>
      </c>
      <c r="D4" s="5" t="s">
        <v>27</v>
      </c>
      <c r="E4" s="6" t="s">
        <v>7</v>
      </c>
      <c r="F4" s="7">
        <v>95</v>
      </c>
      <c r="G4" s="19">
        <v>95</v>
      </c>
      <c r="H4" s="5">
        <v>3</v>
      </c>
    </row>
    <row r="5" spans="1:10" x14ac:dyDescent="0.45">
      <c r="A5" s="26" t="s">
        <v>17</v>
      </c>
      <c r="B5" s="27">
        <v>20250824</v>
      </c>
      <c r="C5" s="5" t="s">
        <v>28</v>
      </c>
      <c r="D5" s="5" t="s">
        <v>29</v>
      </c>
      <c r="E5" s="6" t="s">
        <v>5</v>
      </c>
      <c r="F5" s="15">
        <v>21</v>
      </c>
      <c r="G5" s="19">
        <v>16.670000000000002</v>
      </c>
      <c r="H5" s="5">
        <v>4</v>
      </c>
    </row>
    <row r="6" spans="1:10" x14ac:dyDescent="0.45">
      <c r="A6" s="26" t="s">
        <v>18</v>
      </c>
      <c r="B6" s="27">
        <v>20250924</v>
      </c>
      <c r="C6" s="5" t="s">
        <v>28</v>
      </c>
      <c r="D6" s="5" t="s">
        <v>29</v>
      </c>
      <c r="E6" s="6" t="s">
        <v>5</v>
      </c>
      <c r="F6" s="15">
        <v>21</v>
      </c>
      <c r="G6" s="19">
        <v>16.670000000000002</v>
      </c>
      <c r="H6" s="5">
        <v>5</v>
      </c>
    </row>
    <row r="7" spans="1:10" x14ac:dyDescent="0.45">
      <c r="A7" s="26" t="s">
        <v>19</v>
      </c>
      <c r="B7" s="27">
        <v>20251024</v>
      </c>
      <c r="C7" s="5" t="s">
        <v>28</v>
      </c>
      <c r="D7" s="5" t="s">
        <v>29</v>
      </c>
      <c r="E7" s="6" t="s">
        <v>5</v>
      </c>
      <c r="F7" s="15">
        <v>21</v>
      </c>
      <c r="G7" s="19">
        <v>16.670000000000002</v>
      </c>
      <c r="H7" s="5">
        <v>6</v>
      </c>
    </row>
    <row r="8" spans="1:10" ht="14.65" thickBot="1" x14ac:dyDescent="0.5">
      <c r="A8" s="26" t="s">
        <v>20</v>
      </c>
      <c r="B8" s="27">
        <v>20251124</v>
      </c>
      <c r="C8" s="5" t="s">
        <v>28</v>
      </c>
      <c r="D8" s="5" t="s">
        <v>29</v>
      </c>
      <c r="E8" s="6" t="s">
        <v>5</v>
      </c>
      <c r="F8" s="15">
        <v>21</v>
      </c>
      <c r="G8" s="19">
        <v>16.670000000000002</v>
      </c>
      <c r="H8" s="5">
        <v>7</v>
      </c>
    </row>
    <row r="9" spans="1:10" ht="14.65" thickBot="1" x14ac:dyDescent="0.5">
      <c r="F9" s="13" t="s">
        <v>13</v>
      </c>
      <c r="G9" s="30">
        <f>SUM(G2:G8)</f>
        <v>524.96</v>
      </c>
      <c r="H9"/>
    </row>
  </sheetData>
  <phoneticPr fontId="1" type="noConversion"/>
  <conditionalFormatting sqref="E2:E8">
    <cfRule type="containsText" dxfId="11" priority="14" operator="containsText" text="Prototype">
      <formula>NOT(ISERROR(SEARCH("Prototype",E2)))</formula>
    </cfRule>
    <cfRule type="containsText" dxfId="10" priority="29" operator="containsText" text="Engineering">
      <formula>NOT(ISERROR(SEARCH("Engineering",E2)))</formula>
    </cfRule>
    <cfRule type="containsText" dxfId="9" priority="30" operator="containsText" text="Medical">
      <formula>NOT(ISERROR(SEARCH("Medical",E2)))</formula>
    </cfRule>
    <cfRule type="endsWith" dxfId="8" priority="31" operator="endsWith" text="Travel">
      <formula>RIGHT(E2,LEN("Travel"))="Travel"</formula>
    </cfRule>
    <cfRule type="endsWith" dxfId="7" priority="32" operator="endsWith" text="prep">
      <formula>RIGHT(E2,LEN("prep"))="prep"</formula>
    </cfRule>
    <cfRule type="containsText" dxfId="6" priority="33" operator="containsText" text="Other">
      <formula>NOT(ISERROR(SEARCH("Other",E2)))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09597-5683-4FC7-8363-EC54AFF74E5A}">
          <x14:formula1>
            <xm:f>#REF!</xm:f>
          </x14:formula1>
          <xm:sqref>E2:E8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1DC9-5CE2-4E4F-8FEA-C3EA3EB27F6F}">
  <dimension ref="A1:K13"/>
  <sheetViews>
    <sheetView topLeftCell="B1" zoomScale="73" zoomScaleNormal="85" workbookViewId="0">
      <selection activeCell="K25" sqref="K25"/>
    </sheetView>
  </sheetViews>
  <sheetFormatPr defaultColWidth="11.3984375" defaultRowHeight="14.25" x14ac:dyDescent="0.45"/>
  <cols>
    <col min="1" max="1" width="3.3984375" customWidth="1"/>
    <col min="2" max="2" width="20.73046875" bestFit="1" customWidth="1"/>
    <col min="3" max="3" width="20.86328125" customWidth="1"/>
    <col min="4" max="4" width="29.73046875" bestFit="1" customWidth="1"/>
    <col min="5" max="5" width="13.1328125" bestFit="1" customWidth="1"/>
    <col min="6" max="6" width="16" bestFit="1" customWidth="1"/>
    <col min="7" max="7" width="16" customWidth="1"/>
    <col min="8" max="8" width="14.1328125" style="11" customWidth="1"/>
    <col min="9" max="9" width="14.1328125" style="11" bestFit="1" customWidth="1"/>
    <col min="10" max="10" width="16.06640625" customWidth="1"/>
    <col min="11" max="11" width="20.265625" customWidth="1"/>
  </cols>
  <sheetData>
    <row r="1" spans="1:11" s="1" customFormat="1" ht="30" customHeight="1" x14ac:dyDescent="0.45">
      <c r="A1" s="2" t="s">
        <v>0</v>
      </c>
      <c r="B1" s="3" t="s">
        <v>1</v>
      </c>
      <c r="C1" s="3" t="s">
        <v>8</v>
      </c>
      <c r="D1" s="3" t="s">
        <v>9</v>
      </c>
      <c r="E1" s="3" t="s">
        <v>2</v>
      </c>
      <c r="F1" s="3" t="s">
        <v>10</v>
      </c>
      <c r="G1" s="3" t="s">
        <v>42</v>
      </c>
      <c r="H1" s="9" t="s">
        <v>43</v>
      </c>
      <c r="I1" s="18" t="s">
        <v>38</v>
      </c>
      <c r="J1" s="20" t="s">
        <v>39</v>
      </c>
      <c r="K1" s="22"/>
    </row>
    <row r="2" spans="1:11" ht="14.65" thickBot="1" x14ac:dyDescent="0.5">
      <c r="A2" s="4" t="s">
        <v>14</v>
      </c>
      <c r="B2" s="5">
        <v>20251113</v>
      </c>
      <c r="C2" s="5" t="s">
        <v>34</v>
      </c>
      <c r="D2" s="5" t="s">
        <v>36</v>
      </c>
      <c r="E2" s="6" t="s">
        <v>4</v>
      </c>
      <c r="F2" s="7">
        <v>4214</v>
      </c>
      <c r="G2" s="7">
        <v>2921</v>
      </c>
      <c r="H2" s="7">
        <f>Table13[[#This Row],[Not Covered by Insurance]]</f>
        <v>2921</v>
      </c>
      <c r="I2" s="35">
        <v>1</v>
      </c>
      <c r="J2" s="21" t="s">
        <v>40</v>
      </c>
      <c r="K2" s="24">
        <v>1750</v>
      </c>
    </row>
    <row r="3" spans="1:11" x14ac:dyDescent="0.45">
      <c r="A3" s="4" t="s">
        <v>15</v>
      </c>
      <c r="B3" s="5">
        <v>20251103</v>
      </c>
      <c r="C3" s="5" t="s">
        <v>34</v>
      </c>
      <c r="D3" s="5" t="s">
        <v>37</v>
      </c>
      <c r="E3" s="6" t="s">
        <v>4</v>
      </c>
      <c r="F3" s="7">
        <v>94.5</v>
      </c>
      <c r="G3" s="7">
        <f>Table13[[#This Row],[Invoice total]]*0.1</f>
        <v>9.4500000000000011</v>
      </c>
      <c r="H3" s="7">
        <f>Table13[[#This Row],[Not Covered by Insurance]]</f>
        <v>9.4500000000000011</v>
      </c>
      <c r="I3" s="5">
        <v>2</v>
      </c>
      <c r="J3" s="25"/>
      <c r="K3" s="17"/>
    </row>
    <row r="4" spans="1:11" x14ac:dyDescent="0.45">
      <c r="A4" s="4" t="s">
        <v>16</v>
      </c>
      <c r="B4" s="8">
        <v>20251027</v>
      </c>
      <c r="C4" s="8" t="s">
        <v>34</v>
      </c>
      <c r="D4" s="5" t="s">
        <v>35</v>
      </c>
      <c r="E4" s="6" t="s">
        <v>4</v>
      </c>
      <c r="F4" s="7">
        <v>141</v>
      </c>
      <c r="G4" s="7">
        <f>Table13[[#This Row],[Invoice total]]*0.1</f>
        <v>14.100000000000001</v>
      </c>
      <c r="H4" s="7">
        <f>Table13[[#This Row],[Not Covered by Insurance]]</f>
        <v>14.100000000000001</v>
      </c>
      <c r="I4" s="5">
        <v>3</v>
      </c>
    </row>
    <row r="5" spans="1:11" x14ac:dyDescent="0.45">
      <c r="A5" s="4" t="s">
        <v>17</v>
      </c>
      <c r="B5" s="5">
        <v>20251124</v>
      </c>
      <c r="C5" s="5" t="s">
        <v>34</v>
      </c>
      <c r="D5" s="5" t="s">
        <v>35</v>
      </c>
      <c r="E5" s="6" t="s">
        <v>4</v>
      </c>
      <c r="F5" s="7">
        <v>276</v>
      </c>
      <c r="G5" s="7">
        <f>Table13[[#This Row],[Invoice total]]*0.1</f>
        <v>27.6</v>
      </c>
      <c r="H5" s="7">
        <f>Table13[[#This Row],[Not Covered by Insurance]]</f>
        <v>27.6</v>
      </c>
      <c r="I5" s="5">
        <v>4</v>
      </c>
    </row>
    <row r="6" spans="1:11" x14ac:dyDescent="0.45">
      <c r="A6" s="4" t="s">
        <v>18</v>
      </c>
      <c r="B6" s="5">
        <v>20251104</v>
      </c>
      <c r="C6" s="5" t="s">
        <v>34</v>
      </c>
      <c r="D6" s="5" t="s">
        <v>35</v>
      </c>
      <c r="E6" s="6" t="s">
        <v>4</v>
      </c>
      <c r="F6" s="7">
        <v>189</v>
      </c>
      <c r="G6" s="7">
        <f>Table13[[#This Row],[Invoice total]]*0.1</f>
        <v>18.900000000000002</v>
      </c>
      <c r="H6" s="7">
        <f>Table13[[#This Row],[Not Covered by Insurance]]</f>
        <v>18.900000000000002</v>
      </c>
      <c r="I6" s="5">
        <v>5</v>
      </c>
    </row>
    <row r="7" spans="1:11" x14ac:dyDescent="0.45">
      <c r="A7" s="4" t="s">
        <v>19</v>
      </c>
      <c r="B7" s="8">
        <v>20251103</v>
      </c>
      <c r="C7" s="8" t="s">
        <v>34</v>
      </c>
      <c r="D7" s="8" t="s">
        <v>45</v>
      </c>
      <c r="E7" s="6" t="s">
        <v>4</v>
      </c>
      <c r="F7" s="7">
        <v>202</v>
      </c>
      <c r="G7" s="7">
        <f>Table13[[#This Row],[Invoice total]]*0.1</f>
        <v>20.200000000000003</v>
      </c>
      <c r="H7" s="7">
        <f>Table13[[#This Row],[Not Covered by Insurance]]</f>
        <v>20.200000000000003</v>
      </c>
      <c r="I7" s="5">
        <v>6</v>
      </c>
    </row>
    <row r="8" spans="1:11" x14ac:dyDescent="0.45">
      <c r="A8" s="4" t="s">
        <v>20</v>
      </c>
      <c r="B8" s="5">
        <v>20251027</v>
      </c>
      <c r="C8" s="5" t="s">
        <v>46</v>
      </c>
      <c r="D8" s="5" t="s">
        <v>47</v>
      </c>
      <c r="E8" s="6" t="s">
        <v>4</v>
      </c>
      <c r="F8" s="7">
        <v>76</v>
      </c>
      <c r="G8" s="7">
        <f>Table13[[#This Row],[Invoice total]]*0.1</f>
        <v>7.6000000000000005</v>
      </c>
      <c r="H8" s="7">
        <f>Table13[[#This Row],[Not Covered by Insurance]]</f>
        <v>7.6000000000000005</v>
      </c>
      <c r="I8" s="5">
        <v>7</v>
      </c>
    </row>
    <row r="9" spans="1:11" x14ac:dyDescent="0.45">
      <c r="A9" s="4" t="s">
        <v>21</v>
      </c>
      <c r="B9" s="5">
        <v>20250915</v>
      </c>
      <c r="C9" s="5" t="s">
        <v>31</v>
      </c>
      <c r="D9" s="5" t="s">
        <v>30</v>
      </c>
      <c r="E9" s="6" t="s">
        <v>4</v>
      </c>
      <c r="F9" s="16">
        <v>97800</v>
      </c>
      <c r="G9" s="16">
        <f>Table13[[#This Row],[Invoice total]]*0.1</f>
        <v>9780</v>
      </c>
      <c r="H9" s="10">
        <f>Table13[[#This Row],[Not Covered by Insurance]]/$K$2</f>
        <v>5.588571428571429</v>
      </c>
      <c r="I9" s="5">
        <v>8</v>
      </c>
    </row>
    <row r="10" spans="1:11" x14ac:dyDescent="0.45">
      <c r="A10" s="4" t="s">
        <v>22</v>
      </c>
      <c r="B10" s="5">
        <v>20251006</v>
      </c>
      <c r="C10" s="5" t="s">
        <v>31</v>
      </c>
      <c r="D10" s="5" t="s">
        <v>30</v>
      </c>
      <c r="E10" s="6" t="s">
        <v>4</v>
      </c>
      <c r="F10" s="16">
        <v>36000</v>
      </c>
      <c r="G10" s="16">
        <f>Table13[[#This Row],[Invoice total]]*0.1</f>
        <v>3600</v>
      </c>
      <c r="H10" s="10">
        <f>Table13[[#This Row],[Not Covered by Insurance]]/$K$2</f>
        <v>2.0571428571428569</v>
      </c>
      <c r="I10" s="5">
        <v>9</v>
      </c>
      <c r="J10" s="17"/>
    </row>
    <row r="11" spans="1:11" ht="14.65" thickBot="1" x14ac:dyDescent="0.5">
      <c r="A11" s="4" t="s">
        <v>3</v>
      </c>
      <c r="B11" s="5">
        <v>20251006</v>
      </c>
      <c r="C11" s="5" t="s">
        <v>33</v>
      </c>
      <c r="D11" s="5" t="s">
        <v>32</v>
      </c>
      <c r="E11" s="6" t="s">
        <v>4</v>
      </c>
      <c r="F11" s="16">
        <v>100000</v>
      </c>
      <c r="G11" s="31">
        <f>Table13[[#This Row],[Invoice total]]*0.1</f>
        <v>10000</v>
      </c>
      <c r="H11" s="12">
        <f>Table13[[#This Row],[Not Covered by Insurance]]/$K$2</f>
        <v>5.7142857142857144</v>
      </c>
      <c r="I11" s="5">
        <v>10</v>
      </c>
      <c r="J11" s="17"/>
    </row>
    <row r="12" spans="1:11" ht="14.65" thickBot="1" x14ac:dyDescent="0.5">
      <c r="G12" s="32" t="s">
        <v>13</v>
      </c>
      <c r="H12" s="33">
        <f>SUM(H2:H8)</f>
        <v>3018.8499999999995</v>
      </c>
      <c r="I12" s="25"/>
    </row>
    <row r="13" spans="1:11" ht="28.9" thickBot="1" x14ac:dyDescent="0.5">
      <c r="G13" s="34" t="s">
        <v>44</v>
      </c>
      <c r="H13" s="14">
        <f>H12/2</f>
        <v>1509.4249999999997</v>
      </c>
      <c r="I13" s="25"/>
    </row>
  </sheetData>
  <phoneticPr fontId="1" type="noConversion"/>
  <conditionalFormatting sqref="E2:E11">
    <cfRule type="containsText" dxfId="5" priority="1" operator="containsText" text="Prototype">
      <formula>NOT(ISERROR(SEARCH("Prototype",E2)))</formula>
    </cfRule>
    <cfRule type="containsText" dxfId="4" priority="2" operator="containsText" text="Engineering">
      <formula>NOT(ISERROR(SEARCH("Engineering",E2)))</formula>
    </cfRule>
    <cfRule type="containsText" dxfId="3" priority="3" operator="containsText" text="Medical">
      <formula>NOT(ISERROR(SEARCH("Medical",E2)))</formula>
    </cfRule>
    <cfRule type="endsWith" dxfId="2" priority="4" operator="endsWith" text="Travel">
      <formula>RIGHT(E2,LEN("Travel"))="Travel"</formula>
    </cfRule>
    <cfRule type="endsWith" dxfId="1" priority="5" operator="endsWith" text="prep">
      <formula>RIGHT(E2,LEN("prep"))="prep"</formula>
    </cfRule>
    <cfRule type="containsText" dxfId="0" priority="6" operator="containsText" text="Other">
      <formula>NOT(ISERROR(SEARCH("Other",E2)))</formula>
    </cfRule>
  </conditionalFormatting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32382-61A6-4C97-809F-02D5B15AADC1}">
          <x14:formula1>
            <xm:f>#REF!</xm:f>
          </x14:formula1>
          <xm:sqref>E2:E11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139B6-82EE-4164-A78B-C37C021B21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Medical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Pradm</dc:creator>
  <cp:lastModifiedBy>Gian Teufen</cp:lastModifiedBy>
  <cp:lastPrinted>2025-09-30T08:59:05Z</cp:lastPrinted>
  <dcterms:created xsi:type="dcterms:W3CDTF">2025-05-09T09:24:10Z</dcterms:created>
  <dcterms:modified xsi:type="dcterms:W3CDTF">2025-12-13T16:40:16Z</dcterms:modified>
</cp:coreProperties>
</file>